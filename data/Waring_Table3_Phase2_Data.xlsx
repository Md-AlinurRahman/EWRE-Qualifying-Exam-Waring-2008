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87d38dbfe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3_Data" sheetId="1" r:id="R52f62154be604df0"/>
    <x:sheet xmlns:r="http://schemas.openxmlformats.org/officeDocument/2006/relationships" name="Long_Format" sheetId="2" r:id="R8e668cf5294d4495"/>
    <x:sheet xmlns:r="http://schemas.openxmlformats.org/officeDocument/2006/relationships" name="Notes" sheetId="3" r:id="R2f76334ddc8d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x"/>
    <x:numFmt numFmtId="202" formatCode="0.0%"/>
    <x:numFmt numFmtId="203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A8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3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85deb55ba47ef" /><Relationship Type="http://schemas.openxmlformats.org/officeDocument/2006/relationships/theme" Target="/xl/theme/theme1.xml" Id="R3d3de067dbed4b4c" /><Relationship Type="http://schemas.openxmlformats.org/officeDocument/2006/relationships/sharedStrings" Target="/xl/sharedStrings.xml" Id="R8bfc68f12a2d4588" /><Relationship Type="http://schemas.openxmlformats.org/officeDocument/2006/relationships/worksheet" Target="/xl/worksheets/sheet1.xml" Id="R52f62154be604df0" /><Relationship Type="http://schemas.openxmlformats.org/officeDocument/2006/relationships/worksheet" Target="/xl/worksheets/sheet2.xml" Id="R8e668cf5294d4495" /><Relationship Type="http://schemas.openxmlformats.org/officeDocument/2006/relationships/worksheet" Target="/xl/worksheets/sheet3.xml" Id="R2f76334ddc8d40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  <x:col min="18" max="18" width="18" hidden="0" customWidth="1"/>
    <x:col min="19" max="19" width="18" hidden="0" customWidth="1"/>
    <x:col min="20" max="20" width="20" hidden="0" customWidth="1"/>
    <x:col min="21" max="21" width="18" hidden="0" customWidth="1"/>
  </x:cols>
  <x:sheetData>
    <x:row r="1" ht="38" customHeight="1">
      <x:c r="A1" s="6" t="str">
        <x:v>Air Cleaner</x:v>
      </x:c>
      <x:c r="B1" s="6" t="str">
        <x:v>Air Freshener</x:v>
      </x:c>
      <x:c r="C1" s="6" t="str">
        <x:v>Air Exchange Rate (h^-1)</x:v>
      </x:c>
      <x:c r="D1" s="6" t="str">
        <x:v>Temperature Mean (°C)</x:v>
      </x:c>
      <x:c r="E1" s="6" t="str">
        <x:v>Temperature SD (°C)</x:v>
      </x:c>
      <x:c r="F1" s="6" t="str">
        <x:v>RH Mean (%)</x:v>
      </x:c>
      <x:c r="G1" s="6" t="str">
        <x:v>RH SD (%)</x:v>
      </x:c>
      <x:c r="H1" s="6" t="str">
        <x:v>O3 BG (ppb)</x:v>
      </x:c>
      <x:c r="I1" s="6" t="str">
        <x:v>O3 AC (ppb)</x:v>
      </x:c>
      <x:c r="J1" s="6" t="str">
        <x:v>O3 AC/AF (ppb)</x:v>
      </x:c>
      <x:c r="K1" s="6" t="str">
        <x:v>O3 AF (ppb)</x:v>
      </x:c>
      <x:c r="L1" s="6" t="str">
        <x:v>PM BG (#/cm3)</x:v>
      </x:c>
      <x:c r="M1" s="6" t="str">
        <x:v>PM AC (#/cm3)</x:v>
      </x:c>
      <x:c r="N1" s="6" t="str">
        <x:v>PM AC/AF (#/cm3)</x:v>
      </x:c>
      <x:c r="O1" s="6" t="str">
        <x:v>PM AF (#/cm3)</x:v>
      </x:c>
      <x:c r="P1" s="6" t="str">
        <x:v>Net Formation Min (nm)</x:v>
      </x:c>
      <x:c r="Q1" s="6" t="str">
        <x:v>Net Formation Max (nm)</x:v>
      </x:c>
      <x:c r="R1" s="6" t="str">
        <x:v>PM Fold AC/AF vs BG</x:v>
      </x:c>
      <x:c r="S1" s="6" t="str">
        <x:v>PM Fold AC/AF vs AC</x:v>
      </x:c>
      <x:c r="T1" s="6" t="str">
        <x:v>O3 Change AC/AF vs AC (%)</x:v>
      </x:c>
      <x:c r="U1" s="6" t="str">
        <x:v>Net Formation Width (nm)</x:v>
      </x:c>
    </x:row>
    <x:row r="2">
      <x:c r="A2" s="14" t="str">
        <x:v>IG 1</x:v>
      </x:c>
      <x:c r="B2" s="14" t="str">
        <x:v>Liquid plug-in, "Hawaiian" scent</x:v>
      </x:c>
      <x:c r="C2" s="16" t="n">
        <x:v>0.87</x:v>
      </x:c>
      <x:c r="D2" s="16" t="n">
        <x:v>25.9</x:v>
      </x:c>
      <x:c r="E2" s="16" t="n">
        <x:v>0.5</x:v>
      </x:c>
      <x:c r="F2" s="16" t="n">
        <x:v>46.4</x:v>
      </x:c>
      <x:c r="G2" s="16" t="n">
        <x:v>1.7</x:v>
      </x:c>
      <x:c r="H2" s="16" t="n">
        <x:v>0.1</x:v>
      </x:c>
      <x:c r="I2" s="16" t="n">
        <x:v>92.3</x:v>
      </x:c>
      <x:c r="J2" s="16" t="n">
        <x:v>16.6</x:v>
      </x:c>
      <x:c r="K2" s="16" t="n">
        <x:v>4.8</x:v>
      </x:c>
      <x:c r="L2" s="16" t="n">
        <x:v>114.5</x:v>
      </x:c>
      <x:c r="M2" s="16" t="n">
        <x:v>145.4</x:v>
      </x:c>
      <x:c r="N2" s="16" t="n">
        <x:v>1135</x:v>
      </x:c>
      <x:c r="O2" s="16" t="n">
        <x:v>140.4</x:v>
      </x:c>
      <x:c r="P2" s="16" t="n">
        <x:v>21.7</x:v>
      </x:c>
      <x:c r="Q2" s="16" t="n">
        <x:v>157</x:v>
      </x:c>
      <x:c r="R2" s="18" t="n">
        <x:f>N2/L2</x:f>
        <x:v>9.912663755458516</x:v>
      </x:c>
      <x:c r="S2" s="18" t="n">
        <x:f>N2/M2</x:f>
        <x:v>7.8060522696011</x:v>
      </x:c>
      <x:c r="T2" s="20" t="n">
        <x:f>(J2-I2)/I2</x:f>
        <x:v>-0.8201516793066088</x:v>
      </x:c>
      <x:c r="U2" s="16" t="n">
        <x:f>Q2-P2</x:f>
        <x:v>135.3</x:v>
      </x:c>
    </x:row>
    <x:row r="3">
      <x:c r="A3" s="14" t="str">
        <x:v>IG 3</x:v>
      </x:c>
      <x:c r="B3" s="14" t="str">
        <x:v>Solid hanging, "pine" scent</x:v>
      </x:c>
      <x:c r="C3" s="16" t="n">
        <x:v>0.91</x:v>
      </x:c>
      <x:c r="D3" s="16" t="n">
        <x:v>26.2</x:v>
      </x:c>
      <x:c r="E3" s="16" t="n">
        <x:v>0.2</x:v>
      </x:c>
      <x:c r="F3" s="16" t="n">
        <x:v>54.3</x:v>
      </x:c>
      <x:c r="G3" s="16" t="n">
        <x:v>1.5</x:v>
      </x:c>
      <x:c r="H3" s="16" t="n">
        <x:v>22.7</x:v>
      </x:c>
      <x:c r="I3" s="16" t="n">
        <x:v>46.2</x:v>
      </x:c>
      <x:c r="J3" s="16" t="n">
        <x:v>9.9</x:v>
      </x:c>
      <x:c r="K3" s="16"/>
      <x:c r="L3" s="16" t="n">
        <x:v>213</x:v>
      </x:c>
      <x:c r="M3" s="16" t="n">
        <x:v>136.7</x:v>
      </x:c>
      <x:c r="N3" s="16" t="n">
        <x:v>2545</x:v>
      </x:c>
      <x:c r="O3" s="16"/>
      <x:c r="P3" s="16" t="n">
        <x:v>4.6</x:v>
      </x:c>
      <x:c r="Q3" s="16" t="n">
        <x:v>157</x:v>
      </x:c>
      <x:c r="R3" s="18" t="n">
        <x:f>N3/L3</x:f>
        <x:v>11.948356807511738</x:v>
      </x:c>
      <x:c r="S3" s="18" t="n">
        <x:f>N3/M3</x:f>
        <x:v>18.617410387710315</x:v>
      </x:c>
      <x:c r="T3" s="20" t="n">
        <x:f>(J3-I3)/I3</x:f>
        <x:v>-0.7857142857142858</x:v>
      </x:c>
      <x:c r="U3" s="16" t="n">
        <x:f>Q3-P3</x:f>
        <x:v>152.4</x:v>
      </x:c>
    </x:row>
    <x:row r="4">
      <x:c r="A4" s="14" t="str">
        <x:v>IG 4</x:v>
      </x:c>
      <x:c r="B4" s="14" t="str">
        <x:v>Solid hanging, "country fresh" scent</x:v>
      </x:c>
      <x:c r="C4" s="16" t="n">
        <x:v>0.96</x:v>
      </x:c>
      <x:c r="D4" s="16" t="n">
        <x:v>27.3</x:v>
      </x:c>
      <x:c r="E4" s="16" t="n">
        <x:v>0.3</x:v>
      </x:c>
      <x:c r="F4" s="16" t="n">
        <x:v>52.1</x:v>
      </x:c>
      <x:c r="G4" s="16" t="n">
        <x:v>1.3</x:v>
      </x:c>
      <x:c r="H4" s="16" t="n">
        <x:v>10.5</x:v>
      </x:c>
      <x:c r="I4" s="16" t="n">
        <x:v>44.8</x:v>
      </x:c>
      <x:c r="J4" s="16" t="n">
        <x:v>11.7</x:v>
      </x:c>
      <x:c r="K4" s="16"/>
      <x:c r="L4" s="16" t="n">
        <x:v>305.2</x:v>
      </x:c>
      <x:c r="M4" s="16" t="n">
        <x:v>130.5</x:v>
      </x:c>
      <x:c r="N4" s="16" t="n">
        <x:v>650.3</x:v>
      </x:c>
      <x:c r="O4" s="16"/>
      <x:c r="P4" s="16" t="n">
        <x:v>20.9</x:v>
      </x:c>
      <x:c r="Q4" s="16" t="n">
        <x:v>157</x:v>
      </x:c>
      <x:c r="R4" s="18" t="n">
        <x:f>N4/L4</x:f>
        <x:v>2.1307339449541285</x:v>
      </x:c>
      <x:c r="S4" s="18" t="n">
        <x:f>N4/M4</x:f>
        <x:v>4.983141762452107</x:v>
      </x:c>
      <x:c r="T4" s="20" t="n">
        <x:f>(J4-I4)/I4</x:f>
        <x:v>-0.7388392857142856</x:v>
      </x:c>
      <x:c r="U4" s="16" t="n">
        <x:f>Q4-P4</x:f>
        <x:v>136.1</x:v>
      </x:c>
    </x:row>
    <x:row r="5">
      <x:c r="A5" s="14" t="str">
        <x:v>IG 5A</x:v>
      </x:c>
      <x:c r="B5" s="14" t="str">
        <x:v>Solid hanging, "pine" scent</x:v>
      </x:c>
      <x:c r="C5" s="16" t="n">
        <x:v>0.54</x:v>
      </x:c>
      <x:c r="D5" s="16" t="n">
        <x:v>26.9</x:v>
      </x:c>
      <x:c r="E5" s="16" t="n">
        <x:v>2.6</x:v>
      </x:c>
      <x:c r="F5" s="16" t="n">
        <x:v>49.1</x:v>
      </x:c>
      <x:c r="G5" s="16" t="n">
        <x:v>1.6</x:v>
      </x:c>
      <x:c r="H5" s="16" t="n">
        <x:v>10.7</x:v>
      </x:c>
      <x:c r="I5" s="16" t="n">
        <x:v>117.7</x:v>
      </x:c>
      <x:c r="J5" s="16" t="n">
        <x:v>19.2</x:v>
      </x:c>
      <x:c r="K5" s="16"/>
      <x:c r="L5" s="16" t="n">
        <x:v>501.8</x:v>
      </x:c>
      <x:c r="M5" s="16" t="n">
        <x:v>152.3</x:v>
      </x:c>
      <x:c r="N5" s="16" t="n">
        <x:v>1569</x:v>
      </x:c>
      <x:c r="O5" s="16"/>
      <x:c r="P5" s="16" t="n">
        <x:v>9.5</x:v>
      </x:c>
      <x:c r="Q5" s="16" t="n">
        <x:v>55.2</x:v>
      </x:c>
      <x:c r="R5" s="18" t="n">
        <x:f>N5/L5</x:f>
        <x:v>3.1267437225986447</x:v>
      </x:c>
      <x:c r="S5" s="18" t="n">
        <x:f>N5/M5</x:f>
        <x:v>10.302035456336178</x:v>
      </x:c>
      <x:c r="T5" s="20" t="n">
        <x:f>(J5-I5)/I5</x:f>
        <x:v>-0.8368734069668649</x:v>
      </x:c>
      <x:c r="U5" s="16" t="n">
        <x:f>Q5-P5</x:f>
        <x:v>45.7</x:v>
      </x:c>
    </x:row>
    <x:row r="6">
      <x:c r="A6" s="14" t="str">
        <x:v>IG 5B</x:v>
      </x:c>
      <x:c r="B6" s="14" t="str">
        <x:v>Solid hanging, "pine" scent</x:v>
      </x:c>
      <x:c r="C6" s="16" t="n">
        <x:v>0.49</x:v>
      </x:c>
      <x:c r="D6" s="16" t="n">
        <x:v>27</x:v>
      </x:c>
      <x:c r="E6" s="16" t="n">
        <x:v>0.4</x:v>
      </x:c>
      <x:c r="F6" s="16" t="n">
        <x:v>47.1</x:v>
      </x:c>
      <x:c r="G6" s="16" t="n">
        <x:v>2</x:v>
      </x:c>
      <x:c r="H6" s="16" t="n">
        <x:v>10</x:v>
      </x:c>
      <x:c r="I6" s="16" t="n">
        <x:v>115.7</x:v>
      </x:c>
      <x:c r="J6" s="16" t="n">
        <x:v>18.2</x:v>
      </x:c>
      <x:c r="K6" s="16"/>
      <x:c r="L6" s="16" t="n">
        <x:v>250.8</x:v>
      </x:c>
      <x:c r="M6" s="16" t="n">
        <x:v>200.1</x:v>
      </x:c>
      <x:c r="N6" s="16" t="n">
        <x:v>886.6</x:v>
      </x:c>
      <x:c r="O6" s="16"/>
      <x:c r="P6" s="16" t="n">
        <x:v>9.47</x:v>
      </x:c>
      <x:c r="Q6" s="16" t="n">
        <x:v>38.5</x:v>
      </x:c>
      <x:c r="R6" s="18" t="n">
        <x:f>N6/L6</x:f>
        <x:v>3.5350877192982457</x:v>
      </x:c>
      <x:c r="S6" s="18" t="n">
        <x:f>N6/M6</x:f>
        <x:v>4.430784607696152</x:v>
      </x:c>
      <x:c r="T6" s="20" t="n">
        <x:f>(J6-I6)/I6</x:f>
        <x:v>-0.8426966292134831</x:v>
      </x:c>
      <x:c r="U6" s="16" t="n">
        <x:f>Q6-P6</x:f>
        <x:v>29.03</x:v>
      </x:c>
    </x:row>
  </x:sheetData>
  <x:conditionalFormatting sqref="R2:S6">
    <x:cfRule type="colorScale" priority="1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3" t="str">
        <x:v>Air Cleaner</x:v>
      </x:c>
      <x:c r="B1" s="23" t="str">
        <x:v>Air Freshener</x:v>
      </x:c>
      <x:c r="C1" s="23" t="str">
        <x:v>Condition</x:v>
      </x:c>
      <x:c r="D1" s="26" t="str">
        <x:v>O3 (ppb)</x:v>
      </x:c>
      <x:c r="E1" s="26" t="str">
        <x:v>PM (#/cm3)</x:v>
      </x:c>
    </x:row>
    <x:row r="2">
      <x:c r="A2" t="str">
        <x:v>IG 1</x:v>
      </x:c>
      <x:c r="B2" t="str">
        <x:v>Liquid plug-in, "Hawaiian" scent</x:v>
      </x:c>
      <x:c r="C2" t="str">
        <x:v>BG</x:v>
      </x:c>
      <x:c r="D2" t="n">
        <x:v>0.1</x:v>
      </x:c>
      <x:c r="E2" t="n">
        <x:v>114.5</x:v>
      </x:c>
    </x:row>
    <x:row r="3">
      <x:c r="A3" t="str">
        <x:v>IG 1</x:v>
      </x:c>
      <x:c r="B3" t="str">
        <x:v>Liquid plug-in, "Hawaiian" scent</x:v>
      </x:c>
      <x:c r="C3" t="str">
        <x:v>AC</x:v>
      </x:c>
      <x:c r="D3" t="n">
        <x:v>92.3</x:v>
      </x:c>
      <x:c r="E3" t="n">
        <x:v>145.4</x:v>
      </x:c>
    </x:row>
    <x:row r="4">
      <x:c r="A4" t="str">
        <x:v>IG 1</x:v>
      </x:c>
      <x:c r="B4" t="str">
        <x:v>Liquid plug-in, "Hawaiian" scent</x:v>
      </x:c>
      <x:c r="C4" t="str">
        <x:v>AC/AF</x:v>
      </x:c>
      <x:c r="D4" t="n">
        <x:v>16.6</x:v>
      </x:c>
      <x:c r="E4" t="n">
        <x:v>1135</x:v>
      </x:c>
    </x:row>
    <x:row r="5">
      <x:c r="A5" t="str">
        <x:v>IG 1</x:v>
      </x:c>
      <x:c r="B5" t="str">
        <x:v>Liquid plug-in, "Hawaiian" scent</x:v>
      </x:c>
      <x:c r="C5" t="str">
        <x:v>AF</x:v>
      </x:c>
      <x:c r="D5" t="n">
        <x:v>4.8</x:v>
      </x:c>
      <x:c r="E5" t="n">
        <x:v>140.4</x:v>
      </x:c>
    </x:row>
    <x:row r="6">
      <x:c r="A6" t="str">
        <x:v>IG 3</x:v>
      </x:c>
      <x:c r="B6" t="str">
        <x:v>Solid hanging, "pine" scent</x:v>
      </x:c>
      <x:c r="C6" t="str">
        <x:v>BG</x:v>
      </x:c>
      <x:c r="D6" t="n">
        <x:v>22.7</x:v>
      </x:c>
      <x:c r="E6" t="n">
        <x:v>213</x:v>
      </x:c>
    </x:row>
    <x:row r="7">
      <x:c r="A7" t="str">
        <x:v>IG 3</x:v>
      </x:c>
      <x:c r="B7" t="str">
        <x:v>Solid hanging, "pine" scent</x:v>
      </x:c>
      <x:c r="C7" t="str">
        <x:v>AC</x:v>
      </x:c>
      <x:c r="D7" t="n">
        <x:v>46.2</x:v>
      </x:c>
      <x:c r="E7" t="n">
        <x:v>136.7</x:v>
      </x:c>
    </x:row>
    <x:row r="8">
      <x:c r="A8" t="str">
        <x:v>IG 3</x:v>
      </x:c>
      <x:c r="B8" t="str">
        <x:v>Solid hanging, "pine" scent</x:v>
      </x:c>
      <x:c r="C8" t="str">
        <x:v>AC/AF</x:v>
      </x:c>
      <x:c r="D8" t="n">
        <x:v>9.9</x:v>
      </x:c>
      <x:c r="E8" t="n">
        <x:v>2545</x:v>
      </x:c>
    </x:row>
    <x:row r="9">
      <x:c r="A9" t="str">
        <x:v>IG 4</x:v>
      </x:c>
      <x:c r="B9" t="str">
        <x:v>Solid hanging, "country fresh" scent</x:v>
      </x:c>
      <x:c r="C9" t="str">
        <x:v>BG</x:v>
      </x:c>
      <x:c r="D9" t="n">
        <x:v>10.5</x:v>
      </x:c>
      <x:c r="E9" t="n">
        <x:v>305.2</x:v>
      </x:c>
    </x:row>
    <x:row r="10">
      <x:c r="A10" t="str">
        <x:v>IG 4</x:v>
      </x:c>
      <x:c r="B10" t="str">
        <x:v>Solid hanging, "country fresh" scent</x:v>
      </x:c>
      <x:c r="C10" t="str">
        <x:v>AC</x:v>
      </x:c>
      <x:c r="D10" t="n">
        <x:v>44.8</x:v>
      </x:c>
      <x:c r="E10" t="n">
        <x:v>130.5</x:v>
      </x:c>
    </x:row>
    <x:row r="11">
      <x:c r="A11" t="str">
        <x:v>IG 4</x:v>
      </x:c>
      <x:c r="B11" t="str">
        <x:v>Solid hanging, "country fresh" scent</x:v>
      </x:c>
      <x:c r="C11" t="str">
        <x:v>AC/AF</x:v>
      </x:c>
      <x:c r="D11" t="n">
        <x:v>11.7</x:v>
      </x:c>
      <x:c r="E11" t="n">
        <x:v>650.3</x:v>
      </x:c>
    </x:row>
    <x:row r="12">
      <x:c r="A12" t="str">
        <x:v>IG 5A</x:v>
      </x:c>
      <x:c r="B12" t="str">
        <x:v>Solid hanging, "pine" scent</x:v>
      </x:c>
      <x:c r="C12" t="str">
        <x:v>BG</x:v>
      </x:c>
      <x:c r="D12" t="n">
        <x:v>10.7</x:v>
      </x:c>
      <x:c r="E12" t="n">
        <x:v>501.8</x:v>
      </x:c>
    </x:row>
    <x:row r="13">
      <x:c r="A13" t="str">
        <x:v>IG 5A</x:v>
      </x:c>
      <x:c r="B13" t="str">
        <x:v>Solid hanging, "pine" scent</x:v>
      </x:c>
      <x:c r="C13" t="str">
        <x:v>AC</x:v>
      </x:c>
      <x:c r="D13" t="n">
        <x:v>117.7</x:v>
      </x:c>
      <x:c r="E13" t="n">
        <x:v>152.3</x:v>
      </x:c>
    </x:row>
    <x:row r="14">
      <x:c r="A14" t="str">
        <x:v>IG 5A</x:v>
      </x:c>
      <x:c r="B14" t="str">
        <x:v>Solid hanging, "pine" scent</x:v>
      </x:c>
      <x:c r="C14" t="str">
        <x:v>AC/AF</x:v>
      </x:c>
      <x:c r="D14" t="n">
        <x:v>19.2</x:v>
      </x:c>
      <x:c r="E14" t="n">
        <x:v>1569</x:v>
      </x:c>
    </x:row>
    <x:row r="15">
      <x:c r="A15" t="str">
        <x:v>IG 5B</x:v>
      </x:c>
      <x:c r="B15" t="str">
        <x:v>Solid hanging, "pine" scent</x:v>
      </x:c>
      <x:c r="C15" t="str">
        <x:v>BG</x:v>
      </x:c>
      <x:c r="D15" t="n">
        <x:v>10</x:v>
      </x:c>
      <x:c r="E15" t="n">
        <x:v>250.8</x:v>
      </x:c>
    </x:row>
    <x:row r="16">
      <x:c r="A16" t="str">
        <x:v>IG 5B</x:v>
      </x:c>
      <x:c r="B16" t="str">
        <x:v>Solid hanging, "pine" scent</x:v>
      </x:c>
      <x:c r="C16" t="str">
        <x:v>AC</x:v>
      </x:c>
      <x:c r="D16" t="n">
        <x:v>115.7</x:v>
      </x:c>
      <x:c r="E16" t="n">
        <x:v>200.1</x:v>
      </x:c>
    </x:row>
    <x:row r="17">
      <x:c r="A17" t="str">
        <x:v>IG 5B</x:v>
      </x:c>
      <x:c r="B17" t="str">
        <x:v>Solid hanging, "pine" scent</x:v>
      </x:c>
      <x:c r="C17" t="str">
        <x:v>AC/AF</x:v>
      </x:c>
      <x:c r="D17" t="n">
        <x:v>18.2</x:v>
      </x:c>
      <x:c r="E17" t="n">
        <x:v>886.6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32" t="str">
        <x:v>Table 3 Dataset — Waring et al. (2008)</x:v>
      </x:c>
      <x:c r="B1" s="32"/>
    </x:row>
    <x:row r="2">
      <x:c r="A2" t="str">
        <x:v>BG</x:v>
      </x:c>
      <x:c r="B2" t="str">
        <x:v>Background period</x:v>
      </x:c>
    </x:row>
    <x:row r="3">
      <x:c r="A3" t="str">
        <x:v>AC</x:v>
      </x:c>
      <x:c r="B3" t="str">
        <x:v>Air Cleaner only period</x:v>
      </x:c>
    </x:row>
    <x:row r="4">
      <x:c r="A4" t="str">
        <x:v>AC/AF</x:v>
      </x:c>
      <x:c r="B4" t="str">
        <x:v>Air Cleaner/Air Freshener period</x:v>
      </x:c>
    </x:row>
    <x:row r="5">
      <x:c r="A5" t="str">
        <x:v>AF</x:v>
      </x:c>
      <x:c r="B5" t="str">
        <x:v>Air Freshener only period; reported only for IG 1</x:v>
      </x:c>
    </x:row>
    <x:row r="6">
      <x:c r="A6" t="str">
        <x:v>Net formation range</x:v>
      </x:c>
      <x:c r="B6" t="str">
        <x:v>Particle-size range with statistically significant (α &lt; 0.05) increase in AC/AF over BG</x:v>
      </x:c>
    </x:row>
    <x:row r="7">
      <x:c r="A7" t="str">
        <x:v>O3 monitor uncertainty</x:v>
      </x:c>
      <x:c r="B7" t="str">
        <x:v>Greater of 1 ppb or 2%</x:v>
      </x:c>
    </x:row>
    <x:row r="8">
      <x:c r="A8" t="str">
        <x:v>Temperature and RH</x:v>
      </x:c>
      <x:c r="B8" t="str">
        <x:v>Measured during BG period only</x:v>
      </x:c>
    </x:row>
    <x:row r="9">
      <x:c r="A9" t="str">
        <x:v>Recommended slide figure</x:v>
      </x:c>
      <x:c r="B9" t="str">
        <x:v>Two-panel condition-response plot: PM on log10 scale and O3 on linear scale, colored by BG / AC / AC/AF / AF, with one line per ion generator.</x:v>
      </x:c>
    </x:row>
  </x:sheetData>
  <x:mergeCells>
    <x:mergeCell ref="A1:B1"/>
  </x:mergeCells>
  <x:pageMargins left="0.7" right="0.7" top="0.75" bottom="0.75" header="0.3" footer="0.3"/>
</x:worksheet>
</file>